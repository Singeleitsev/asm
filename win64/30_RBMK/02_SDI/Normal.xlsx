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asm\win64\30_RBMK\02_BIM\"/>
    </mc:Choice>
  </mc:AlternateContent>
  <xr:revisionPtr revIDLastSave="0" documentId="13_ncr:1_{A77219A9-5C01-4C0D-B922-DA49E3378E25}" xr6:coauthVersionLast="47" xr6:coauthVersionMax="47" xr10:uidLastSave="{00000000-0000-0000-0000-000000000000}"/>
  <bookViews>
    <workbookView xWindow="28680" yWindow="-120" windowWidth="29040" windowHeight="15720" xr2:uid="{0CDEC35A-2BBF-40B0-826C-7AB24E6B73F2}"/>
  </bookViews>
  <sheets>
    <sheet name="pshufd" sheetId="1" r:id="rId1"/>
  </sheets>
  <definedNames>
    <definedName name="nx">pshufd!$D$8</definedName>
    <definedName name="ny">pshufd!$E$8</definedName>
    <definedName name="nz">pshufd!$F$8</definedName>
    <definedName name="p1x">pshufd!$D$3</definedName>
    <definedName name="p1y">pshufd!$E$3</definedName>
    <definedName name="p1z">pshufd!$F$3</definedName>
    <definedName name="p2x">pshufd!$D$4</definedName>
    <definedName name="p2y">pshufd!$E$4</definedName>
    <definedName name="p2z">pshufd!$F$4</definedName>
    <definedName name="p3x">pshufd!$D$5</definedName>
    <definedName name="p3y">pshufd!$E$5</definedName>
    <definedName name="p3z">pshufd!$F$5</definedName>
    <definedName name="ux">pshufd!$D$6</definedName>
    <definedName name="uy">pshufd!$E$6</definedName>
    <definedName name="uz">pshufd!$F$6</definedName>
    <definedName name="vx">pshufd!$D$7</definedName>
    <definedName name="vy">pshufd!$E$7</definedName>
    <definedName name="vz">pshufd!$F$7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4" i="1" l="1"/>
  <c r="G13" i="1"/>
  <c r="G12" i="1"/>
  <c r="F7" i="1"/>
  <c r="E7" i="1"/>
  <c r="G14" i="1" s="1"/>
  <c r="D7" i="1"/>
  <c r="E14" i="1" s="1"/>
  <c r="F6" i="1"/>
  <c r="F11" i="1" s="1"/>
  <c r="E6" i="1"/>
  <c r="D8" i="1" s="1"/>
  <c r="D6" i="1"/>
  <c r="F8" i="1" l="1"/>
  <c r="E12" i="1"/>
  <c r="G11" i="1"/>
  <c r="E13" i="1"/>
  <c r="F12" i="1"/>
  <c r="E8" i="1"/>
  <c r="F13" i="1"/>
  <c r="E11" i="1"/>
</calcChain>
</file>

<file path=xl/sharedStrings.xml><?xml version="1.0" encoding="utf-8"?>
<sst xmlns="http://schemas.openxmlformats.org/spreadsheetml/2006/main" count="29" uniqueCount="20">
  <si>
    <t>P1</t>
  </si>
  <si>
    <t>P2</t>
  </si>
  <si>
    <t>P3</t>
  </si>
  <si>
    <t>x</t>
  </si>
  <si>
    <t>y</t>
  </si>
  <si>
    <t>z</t>
  </si>
  <si>
    <t>V</t>
  </si>
  <si>
    <t>U</t>
  </si>
  <si>
    <t>N</t>
  </si>
  <si>
    <t>xmm3</t>
  </si>
  <si>
    <t>xmm4</t>
  </si>
  <si>
    <t>xmm5</t>
  </si>
  <si>
    <t>xmm6</t>
  </si>
  <si>
    <t>w</t>
  </si>
  <si>
    <t>00</t>
  </si>
  <si>
    <t>01</t>
  </si>
  <si>
    <t>bits 7-6</t>
  </si>
  <si>
    <t>bits 5-4</t>
  </si>
  <si>
    <t>bits 3-2</t>
  </si>
  <si>
    <t>bits 1-0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</si>
</sst>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DE822-6DC4-45AC-83E6-853885F1C9AC}">
  <dimension ref="C2:K14"/>
  <sheetViews>
    <sheetView tabSelected="1" workbookViewId="0">
      <selection activeCell="D3" sqref="D3"/>
    </sheetView>
  </sheetViews>
  <sheetFormatPr defaultRowHeight="15" x14ac:dyDescent="0.25"/>
  <sheetData>
    <row r="2" spans="3:11" x14ac:dyDescent="0.25">
      <c r="C2" s="1"/>
      <c r="D2" s="1" t="s">
        <v>3</v>
      </c>
      <c r="E2" s="1" t="s">
        <v>4</v>
      </c>
      <c r="F2" s="1" t="s">
        <v>5</v>
      </c>
    </row>
    <row r="3" spans="3:11" x14ac:dyDescent="0.25">
      <c r="C3" s="1" t="s">
        <v>0</v>
      </c>
      <c r="D3" s="1">
        <v>0.15</v>
      </c>
      <c r="E3" s="1">
        <v>0.25</v>
      </c>
      <c r="F3" s="1">
        <v>0.4</v>
      </c>
    </row>
    <row r="4" spans="3:11" x14ac:dyDescent="0.25">
      <c r="C4" s="1" t="s">
        <v>1</v>
      </c>
      <c r="D4" s="1">
        <v>0.75</v>
      </c>
      <c r="E4" s="1">
        <v>0.85</v>
      </c>
      <c r="F4" s="1">
        <v>1</v>
      </c>
    </row>
    <row r="5" spans="3:11" x14ac:dyDescent="0.25">
      <c r="C5" s="1" t="s">
        <v>2</v>
      </c>
      <c r="D5" s="1">
        <v>0.85</v>
      </c>
      <c r="E5" s="1">
        <v>0.4</v>
      </c>
      <c r="F5" s="1">
        <v>0.15</v>
      </c>
    </row>
    <row r="6" spans="3:11" x14ac:dyDescent="0.25">
      <c r="C6" s="1" t="s">
        <v>7</v>
      </c>
      <c r="D6" s="1">
        <f>p2x-p1x</f>
        <v>0.6</v>
      </c>
      <c r="E6" s="1">
        <f>p2y-p1y</f>
        <v>0.6</v>
      </c>
      <c r="F6" s="1">
        <f>p2z-p1z</f>
        <v>0.6</v>
      </c>
    </row>
    <row r="7" spans="3:11" x14ac:dyDescent="0.25">
      <c r="C7" s="1" t="s">
        <v>6</v>
      </c>
      <c r="D7" s="1">
        <f>p3x-p1x</f>
        <v>0.7</v>
      </c>
      <c r="E7" s="1">
        <f>p3y-p1y</f>
        <v>0.15000000000000002</v>
      </c>
      <c r="F7" s="1">
        <f>p3z-p1z</f>
        <v>-0.25</v>
      </c>
    </row>
    <row r="8" spans="3:11" x14ac:dyDescent="0.25">
      <c r="C8" s="1" t="s">
        <v>8</v>
      </c>
      <c r="D8" s="1">
        <f>uy*vz-uz*vy</f>
        <v>-0.24</v>
      </c>
      <c r="E8" s="1">
        <f>uz*vx-ux*vz</f>
        <v>0.56999999999999995</v>
      </c>
      <c r="F8" s="1">
        <f>ux*vy-uy*vx</f>
        <v>-0.32999999999999996</v>
      </c>
    </row>
    <row r="10" spans="3:11" x14ac:dyDescent="0.25">
      <c r="C10" s="1"/>
      <c r="D10" s="1" t="s">
        <v>13</v>
      </c>
      <c r="E10" s="1" t="s">
        <v>5</v>
      </c>
      <c r="F10" s="1" t="s">
        <v>4</v>
      </c>
      <c r="G10" s="1" t="s">
        <v>3</v>
      </c>
      <c r="H10" s="1" t="s">
        <v>16</v>
      </c>
      <c r="I10" s="1" t="s">
        <v>17</v>
      </c>
      <c r="J10" s="1" t="s">
        <v>18</v>
      </c>
      <c r="K10" s="1" t="s">
        <v>19</v>
      </c>
    </row>
    <row r="11" spans="3:11" x14ac:dyDescent="0.25">
      <c r="C11" s="1" t="s">
        <v>9</v>
      </c>
      <c r="D11" s="2">
        <v>0</v>
      </c>
      <c r="E11" s="2">
        <f>ux</f>
        <v>0.6</v>
      </c>
      <c r="F11" s="2">
        <f>uz</f>
        <v>0.6</v>
      </c>
      <c r="G11" s="2">
        <f>uy</f>
        <v>0.6</v>
      </c>
      <c r="H11" s="1">
        <v>11</v>
      </c>
      <c r="I11" s="3" t="s">
        <v>14</v>
      </c>
      <c r="J11" s="1">
        <v>10</v>
      </c>
      <c r="K11" s="3" t="s">
        <v>15</v>
      </c>
    </row>
    <row r="12" spans="3:11" x14ac:dyDescent="0.25">
      <c r="C12" s="1" t="s">
        <v>10</v>
      </c>
      <c r="D12" s="2">
        <v>0</v>
      </c>
      <c r="E12" s="2">
        <f>vy</f>
        <v>0.15000000000000002</v>
      </c>
      <c r="F12" s="2">
        <f>vx</f>
        <v>0.7</v>
      </c>
      <c r="G12" s="2">
        <f>vz</f>
        <v>-0.25</v>
      </c>
      <c r="H12" s="1">
        <v>11</v>
      </c>
      <c r="I12" s="3" t="s">
        <v>15</v>
      </c>
      <c r="J12" s="3" t="s">
        <v>14</v>
      </c>
      <c r="K12" s="1">
        <v>10</v>
      </c>
    </row>
    <row r="13" spans="3:11" x14ac:dyDescent="0.25">
      <c r="C13" s="1" t="s">
        <v>11</v>
      </c>
      <c r="D13" s="2">
        <v>0</v>
      </c>
      <c r="E13" s="2">
        <f>uy</f>
        <v>0.6</v>
      </c>
      <c r="F13" s="2">
        <f>ux</f>
        <v>0.6</v>
      </c>
      <c r="G13" s="2">
        <f>uz</f>
        <v>0.6</v>
      </c>
      <c r="H13" s="1">
        <v>11</v>
      </c>
      <c r="I13" s="3" t="s">
        <v>15</v>
      </c>
      <c r="J13" s="3" t="s">
        <v>14</v>
      </c>
      <c r="K13" s="1">
        <v>10</v>
      </c>
    </row>
    <row r="14" spans="3:11" x14ac:dyDescent="0.25">
      <c r="C14" s="1" t="s">
        <v>12</v>
      </c>
      <c r="D14" s="2">
        <v>0</v>
      </c>
      <c r="E14" s="2">
        <f>vx</f>
        <v>0.7</v>
      </c>
      <c r="F14" s="2">
        <f>vz</f>
        <v>-0.25</v>
      </c>
      <c r="G14" s="2">
        <f>vy</f>
        <v>0.15000000000000002</v>
      </c>
      <c r="H14" s="1">
        <v>11</v>
      </c>
      <c r="I14" s="3" t="s">
        <v>14</v>
      </c>
      <c r="J14" s="1">
        <v>10</v>
      </c>
      <c r="K14" s="3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18</vt:i4>
      </vt:variant>
    </vt:vector>
  </HeadingPairs>
  <TitlesOfParts>
    <vt:vector size="19" baseType="lpstr">
      <vt:lpstr>pshufd</vt:lpstr>
      <vt:lpstr>nx</vt:lpstr>
      <vt:lpstr>ny</vt:lpstr>
      <vt:lpstr>nz</vt:lpstr>
      <vt:lpstr>p1x</vt:lpstr>
      <vt:lpstr>p1y</vt:lpstr>
      <vt:lpstr>p1z</vt:lpstr>
      <vt:lpstr>p2x</vt:lpstr>
      <vt:lpstr>p2y</vt:lpstr>
      <vt:lpstr>p2z</vt:lpstr>
      <vt:lpstr>p3x</vt:lpstr>
      <vt:lpstr>p3y</vt:lpstr>
      <vt:lpstr>p3z</vt:lpstr>
      <vt:lpstr>ux</vt:lpstr>
      <vt:lpstr>uy</vt:lpstr>
      <vt:lpstr>uz</vt:lpstr>
      <vt:lpstr>vx</vt:lpstr>
      <vt:lpstr>vy</vt:lpstr>
      <vt:lpstr>vz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Сингелейцев</dc:creator>
  <cp:lastModifiedBy>Михаил Сингелейцев</cp:lastModifiedBy>
  <dcterms:created xsi:type="dcterms:W3CDTF">2025-09-26T03:24:15Z</dcterms:created>
  <dcterms:modified xsi:type="dcterms:W3CDTF">2025-09-26T04:07:03Z</dcterms:modified>
</cp:coreProperties>
</file>